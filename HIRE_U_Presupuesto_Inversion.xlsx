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22b6b05029c4248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RSION" sheetId="1" r:id="R04e3cdc25c1a4ad6"/>
    <x:sheet xmlns:r="http://schemas.openxmlformats.org/officeDocument/2006/relationships" name="REQUERIMIENTOS " sheetId="2" r:id="Rf2616dae3d914a48"/>
    <x:sheet xmlns:r="http://schemas.openxmlformats.org/officeDocument/2006/relationships" name="INVESTIGACION" sheetId="3" r:id="R8493ce79b92847ad"/>
  </x:sheets>
</x:workbook>
</file>

<file path=xl/sharedStrings.xml><?xml version="1.0" encoding="utf-8"?>
<x:sst xmlns:x="http://schemas.openxmlformats.org/spreadsheetml/2006/main">
  <x:si>
    <x:t xml:space="preserve">INVERSION INICIAL</x:t>
  </x:si>
  <x:si>
    <x:t xml:space="preserve">CONCEPTO / CATEGORIAS</x:t>
  </x:si>
  <x:si>
    <x:t xml:space="preserve">UNIDAD DE MEDIDA</x:t>
  </x:si>
  <x:si>
    <x:t xml:space="preserve">CANTIDAD</x:t>
  </x:si>
  <x:si>
    <x:t xml:space="preserve">COSTO</x:t>
  </x:si>
  <x:si>
    <x:t xml:space="preserve">PROPIOS</x:t>
  </x:si>
  <x:si>
    <x:t xml:space="preserve">INVERSIONISTAS</x:t>
  </x:si>
  <x:si>
    <x:t xml:space="preserve">FINANCIAMIENTO</x:t>
  </x:si>
  <x:si>
    <x:t xml:space="preserve">ACTIVO FIJO</x:t>
  </x:si>
  <x:si>
    <x:t xml:space="preserve">SUBTOTAL</x:t>
  </x:si>
  <x:si>
    <x:t xml:space="preserve">ACTIVO DIFERIDO</x:t>
  </x:si>
  <x:si>
    <x:t xml:space="preserve">TOTAL DE INVERSION</x:t>
  </x:si>
  <x:si>
    <x:t xml:space="preserve">Activo fijo</x:t>
  </x:si>
  <x:si>
    <x:t xml:space="preserve">Activo diferido</x:t>
  </x:si>
  <x:si>
    <x:t xml:space="preserve">HADWARE</x:t>
  </x:si>
  <x:si>
    <x:t xml:space="preserve">Recoleccion de datos de informacion</x:t>
  </x:si>
  <x:si>
    <x:t xml:space="preserve">ELEMENTOS</x:t>
  </x:si>
  <x:si>
    <x:t xml:space="preserve">COSTO UNITARIO</x:t>
  </x:si>
  <x:si>
    <x:t xml:space="preserve">CANTIDAD REQUERIDA</x:t>
  </x:si>
  <x:si>
    <x:t xml:space="preserve">COSTO TOTAL</x:t>
  </x:si>
  <x:si>
    <x:t xml:space="preserve">PERIODO /DIA</x:t>
  </x:si>
  <x:si>
    <x:t xml:space="preserve">total</x:t>
  </x:si>
  <x:si>
    <x:t xml:space="preserve">SOFTWARE</x:t>
  </x:si>
</x:sst>
</file>

<file path=xl/styles.xml><?xml version="1.0" encoding="utf-8"?>
<x:styleSheet xmlns:x="http://schemas.openxmlformats.org/spreadsheetml/2006/main">
  <x:numFmts count="3">
    <x:numFmt numFmtId="164" formatCode="_-&quot;$&quot;\ * #,##0.00_-;\-&quot;$&quot;\ * #,##0.00_-;_-&quot;$&quot;\ * &quot;-&quot;??_-;_-@_-"/>
    <x:numFmt numFmtId="200" formatCode="#,##0;[Red](#,##0);–"/>
    <x:numFmt numFmtId="201" formatCode="#,##0"/>
  </x:numFmts>
  <x:fonts count="3">
    <x:font>
      <x:sz val="11"/>
      <x:color theme="1"/>
      <x:name val="Calibri"/>
    </x:font>
    <x:font>
      <x:sz val="11"/>
      <x:color theme="1"/>
      <x:name val="Calibri"/>
    </x:font>
    <x:font>
      <x:sz val="11"/>
      <x:color rgb="FF0061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54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</x:borders>
  <x:cellStyleXfs count="3">
    <x:xf numFmtId="0" fontId="0" fillId="0" borderId="0"/>
    <x:xf numFmtId="164" fontId="1" fillId="0" borderId="0" applyFont="0" applyFill="0" applyBorder="0" applyAlignment="0" applyProtection="0"/>
    <x:xf numFmtId="0" fontId="2" fillId="2" borderId="0" applyNumberFormat="0" applyBorder="0" applyAlignment="0" applyProtection="0"/>
  </x:cellStyleXfs>
  <x:cellXfs count="144">
    <x:xf numFmtId="0" fontId="0" fillId="0" borderId="0" xfId="0"/>
    <x:xf numFmtId="0" fontId="0" fillId="0" borderId="0" xfId="0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1" xfId="0" applyBorder="1" applyAlignment="1">
      <x:alignment horizontal="center" vertical="center"/>
    </x:xf>
    <x:xf numFmtId="0" fontId="0" fillId="0" borderId="12" xfId="0" applyBorder="1"/>
    <x:xf numFmtId="0" fontId="0" fillId="0" borderId="13" xfId="0" applyBorder="1"/>
    <x:xf numFmtId="0" fontId="0" fillId="0" borderId="15" xfId="0" applyBorder="1"/>
    <x:xf numFmtId="0" fontId="0" fillId="0" borderId="16" xfId="0" applyBorder="1"/>
    <x:xf numFmtId="0" fontId="0" fillId="0" borderId="18" xfId="0" applyBorder="1"/>
    <x:xf numFmtId="0" fontId="0" fillId="0" borderId="20" xfId="0" applyBorder="1"/>
    <x:xf numFmtId="0" fontId="0" fillId="0" borderId="1" xfId="0" applyBorder="1"/>
    <x:xf numFmtId="164" fontId="0" fillId="0" borderId="1" xfId="0" applyNumberFormat="1" applyBorder="1"/>
    <x:xf numFmtId="164" fontId="0" fillId="0" borderId="8" xfId="1" applyFont="1" applyBorder="1" applyAlignment="1">
      <x:alignment horizontal="center" vertical="center"/>
    </x:xf>
    <x:xf numFmtId="164" fontId="0" fillId="0" borderId="9" xfId="1" applyFont="1" applyBorder="1" applyAlignment="1">
      <x:alignment horizontal="center" vertical="center"/>
    </x:xf>
    <x:xf numFmtId="0" fontId="0" fillId="0" borderId="3" xfId="0" applyBorder="1"/>
    <x:xf numFmtId="0" fontId="0" fillId="0" borderId="14" xfId="0" applyBorder="1" applyAlignment="1">
      <x:alignment horizontal="center"/>
    </x:xf>
    <x:xf numFmtId="164" fontId="0" fillId="0" borderId="14" xfId="1" applyFont="1" applyBorder="1" applyAlignment="1">
      <x:alignment horizontal="center"/>
    </x:xf>
    <x:xf numFmtId="0" fontId="0" fillId="0" borderId="12" xfId="0" applyBorder="1" applyAlignment="1">
      <x:alignment horizontal="center"/>
    </x:xf>
    <x:xf numFmtId="164" fontId="0" fillId="0" borderId="12" xfId="1" applyFont="1" applyBorder="1" applyAlignment="1">
      <x:alignment horizontal="center"/>
    </x:xf>
    <x:xf numFmtId="164" fontId="1" fillId="0" borderId="14" xfId="1" applyFont="1" applyBorder="1" applyAlignment="1">
      <x:alignment horizontal="center"/>
    </x:xf>
    <x:xf numFmtId="164" fontId="1" fillId="0" borderId="12" xfId="1" applyFont="1" applyBorder="1" applyAlignment="1">
      <x:alignment horizontal="center"/>
    </x:xf>
    <x:xf numFmtId="0" fontId="1" fillId="0" borderId="12" xfId="1" applyNumberFormat="1" applyFont="1" applyBorder="1" applyAlignment="1">
      <x:alignment horizontal="center"/>
    </x:xf>
    <x:xf numFmtId="0" fontId="0" fillId="0" borderId="14" xfId="1" applyNumberFormat="1" applyFont="1" applyBorder="1" applyAlignment="1">
      <x:alignment horizontal="center"/>
    </x:xf>
    <x:xf numFmtId="0" fontId="0" fillId="0" borderId="12" xfId="1" applyNumberFormat="1" applyFont="1" applyBorder="1" applyAlignment="1">
      <x:alignment horizontal="center"/>
    </x:xf>
    <x:xf numFmtId="164" fontId="0" fillId="0" borderId="0" xfId="0" applyNumberFormat="1"/>
    <x:xf numFmtId="0" fontId="0" fillId="0" borderId="21" xfId="0" applyBorder="1"/>
    <x:xf numFmtId="0" fontId="0" fillId="0" borderId="22" xfId="0" applyBorder="1"/>
    <x:xf numFmtId="0" fontId="0" fillId="0" borderId="13" xfId="0" applyBorder="1" applyAlignment="1">
      <x:alignment wrapText="1"/>
    </x:xf>
    <x:xf numFmtId="0" fontId="0" fillId="0" borderId="1" xfId="0" applyBorder="1" applyAlignment="1">
      <x:alignment horizontal="center"/>
    </x:xf>
    <x:xf numFmtId="164" fontId="0" fillId="0" borderId="12" xfId="0" applyNumberFormat="1" applyBorder="1"/>
    <x:xf numFmtId="0" fontId="0" fillId="0" borderId="22" xfId="0" applyBorder="1" applyAlignment="1">
      <x:alignment horizontal="center"/>
    </x:xf>
    <x:xf numFmtId="0" fontId="0" fillId="0" borderId="22" xfId="1" applyNumberFormat="1" applyFont="1" applyBorder="1" applyAlignment="1">
      <x:alignment horizontal="center"/>
    </x:xf>
    <x:xf numFmtId="164" fontId="0" fillId="0" borderId="0" xfId="0" applyNumberFormat="1" applyAlignment="1">
      <x:alignment horizontal="center"/>
    </x:xf>
    <x:xf numFmtId="164" fontId="0" fillId="0" borderId="22" xfId="1" applyFont="1" applyBorder="1" applyAlignment="1">
      <x:alignment horizontal="center"/>
    </x:xf>
    <x:xf numFmtId="164" fontId="0" fillId="0" borderId="23" xfId="1" applyFont="1" applyBorder="1" applyAlignment="1">
      <x:alignment horizontal="center"/>
    </x:xf>
    <x:xf numFmtId="164" fontId="0" fillId="0" borderId="17" xfId="1" applyFont="1" applyBorder="1" applyAlignment="1">
      <x:alignment horizontal="center"/>
    </x:xf>
    <x:xf numFmtId="0" fontId="0" fillId="0" borderId="19" xfId="0" applyBorder="1" applyAlignment="1">
      <x:alignment horizontal="center"/>
    </x:xf>
    <x:xf numFmtId="0" fontId="0" fillId="0" borderId="19" xfId="1" applyNumberFormat="1" applyFont="1" applyBorder="1" applyAlignment="1">
      <x:alignment horizontal="center"/>
    </x:xf>
    <x:xf numFmtId="164" fontId="0" fillId="0" borderId="19" xfId="1" applyFont="1" applyBorder="1" applyAlignment="1">
      <x:alignment horizontal="center"/>
    </x:xf>
    <x:xf numFmtId="164" fontId="0" fillId="0" borderId="20" xfId="1" applyFont="1" applyBorder="1" applyAlignment="1">
      <x:alignment horizontal="center"/>
    </x:xf>
    <x:xf numFmtId="164" fontId="0" fillId="0" borderId="15" xfId="1" applyFont="1" applyBorder="1" applyAlignment="1">
      <x:alignment horizontal="center"/>
    </x:xf>
    <x:xf numFmtId="0" fontId="0" fillId="0" borderId="24" xfId="0" applyBorder="1" applyAlignment="1">
      <x:alignment horizontal="center"/>
    </x:xf>
    <x:xf numFmtId="0" fontId="0" fillId="0" borderId="25" xfId="0" applyBorder="1" applyAlignment="1">
      <x:alignment horizontal="center"/>
    </x:xf>
    <x:xf numFmtId="0" fontId="0" fillId="0" borderId="26" xfId="0" applyBorder="1" applyAlignment="1">
      <x:alignment horizontal="center"/>
    </x:xf>
    <x:xf numFmtId="0" fontId="2" fillId="2" borderId="2" xfId="2" applyBorder="1" applyAlignment="1">
      <x:alignment horizontal="center"/>
    </x:xf>
    <x:xf numFmtId="0" fontId="2" fillId="2" borderId="3" xfId="2" applyBorder="1" applyAlignment="1">
      <x:alignment horizontal="center"/>
    </x:xf>
    <x:xf numFmtId="0" fontId="2" fillId="2" borderId="4" xfId="2" applyBorder="1" applyAlignment="1">
      <x:alignment horizontal="center"/>
    </x:xf>
    <x:xf numFmtId="0" fontId="2" fillId="2" borderId="5" xfId="2" applyBorder="1" applyAlignment="1">
      <x:alignment horizontal="center"/>
    </x:xf>
    <x:xf numFmtId="0" fontId="2" fillId="2" borderId="6" xfId="2" applyBorder="1" applyAlignment="1">
      <x:alignment horizontal="center"/>
    </x:xf>
    <x:xf numFmtId="0" fontId="2" fillId="2" borderId="7" xfId="2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10" xfId="0" applyBorder="1" applyAlignment="1">
      <x:alignment horizontal="center" vertical="center" wrapText="1"/>
    </x:xf>
    <x:xf numFmtId="0" fontId="0" fillId="0" borderId="11" xfId="0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27" xfId="0" applyNumberFormat="1" applyFont="1" applyFill="1" applyBorder="1"/>
    <x:xf numFmtId="0" fontId="0" fillId="0" borderId="27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 vertical="center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29" xfId="0" applyNumberFormat="1" applyFont="1" applyFill="1" applyBorder="1"/>
    <x:xf numFmtId="164" fontId="0" fillId="0" borderId="29" xfId="0" applyNumberFormat="1" applyFont="1" applyFill="1" applyBorder="1"/>
    <x:xf numFmtId="164" fontId="0" fillId="0" borderId="36" xfId="0" applyNumberFormat="1" applyFont="1" applyFill="1" applyBorder="1" applyAlignment="1">
      <x:alignment horizontal="center" vertical="center"/>
    </x:xf>
    <x:xf numFmtId="164" fontId="0" fillId="0" borderId="37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/>
    <x:xf numFmtId="0" fontId="0" fillId="0" borderId="38" xfId="0" applyNumberFormat="1" applyFont="1" applyFill="1" applyBorder="1" applyAlignment="1">
      <x:alignment horizontal="center"/>
    </x:xf>
    <x:xf numFmtId="164" fontId="0" fillId="0" borderId="38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 applyAlignment="1">
      <x:alignment horizontal="center"/>
    </x:xf>
    <x:xf numFmtId="164" fontId="0" fillId="0" borderId="30" xfId="0" applyNumberFormat="1" applyFont="1" applyFill="1" applyBorder="1" applyAlignment="1">
      <x:alignment horizontal="center"/>
    </x:xf>
    <x:xf numFmtId="164" fontId="0" fillId="0" borderId="27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31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horizontal="center"/>
    </x:xf>
    <x:xf numFmtId="164" fontId="0" fillId="0" borderId="30" xfId="0" applyNumberFormat="1" applyFont="1" applyFill="1" applyBorder="1"/>
    <x:xf numFmtId="0" fontId="0" fillId="0" borderId="40" xfId="0" applyNumberFormat="1" applyFont="1" applyFill="1" applyBorder="1" applyAlignment="1">
      <x:alignment horizontal="center"/>
    </x:xf>
    <x:xf numFmtId="164" fontId="0" fillId="0" borderId="27" xfId="0" applyNumberFormat="1" applyFont="1" applyFill="1" applyBorder="1" applyAlignment="1">
      <x:alignment horizontal="center"/>
    </x:xf>
    <x:xf numFmtId="164" fontId="0" fillId="0" borderId="40" xfId="0" applyNumberFormat="1" applyFont="1" applyFill="1" applyBorder="1" applyAlignment="1">
      <x:alignment horizontal="center"/>
    </x:xf>
    <x:xf numFmtId="164" fontId="0" fillId="0" borderId="41" xfId="0" applyNumberFormat="1" applyFont="1" applyFill="1" applyBorder="1" applyAlignment="1">
      <x:alignment horizontal="center"/>
    </x:xf>
    <x:xf numFmtId="164" fontId="0" fillId="0" borderId="42" xfId="0" applyNumberFormat="1" applyFont="1" applyFill="1" applyBorder="1" applyAlignment="1">
      <x:alignment horizontal="center"/>
    </x:xf>
    <x:xf numFmtId="0" fontId="0" fillId="0" borderId="43" xfId="0" applyNumberFormat="1" applyFont="1" applyFill="1" applyBorder="1" applyAlignment="1">
      <x:alignment horizontal="center"/>
    </x:xf>
    <x:xf numFmtId="164" fontId="0" fillId="0" borderId="43" xfId="0" applyNumberFormat="1" applyFont="1" applyFill="1" applyBorder="1" applyAlignment="1">
      <x:alignment horizontal="center"/>
    </x:xf>
    <x:xf numFmtId="164" fontId="0" fillId="0" borderId="35" xfId="0" applyNumberFormat="1" applyFont="1" applyFill="1" applyBorder="1" applyAlignment="1">
      <x:alignment horizontal="center"/>
    </x:xf>
    <x:xf numFmtId="164" fontId="0" fillId="0" borderId="32" xfId="0" applyNumberFormat="1" applyFont="1" applyFill="1" applyBorder="1" applyAlignment="1">
      <x:alignment horizontal="center"/>
    </x:xf>
    <x:xf numFmtId="0" fontId="0" fillId="0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horizontal="center"/>
    </x:xf>
    <x:xf numFmtId="0" fontId="0" fillId="0" borderId="46" xfId="0" applyNumberFormat="1" applyFont="1" applyFill="1" applyBorder="1" applyAlignment="1">
      <x:alignment horizontal="center"/>
    </x:xf>
    <x:xf numFmtId="0" fontId="2" fillId="2" borderId="47" xfId="0" applyNumberFormat="1" applyFont="1" applyFill="1" applyBorder="1" applyAlignment="1">
      <x:alignment horizontal="center"/>
    </x:xf>
    <x:xf numFmtId="0" fontId="2" fillId="2" borderId="28" xfId="0" applyNumberFormat="1" applyFont="1" applyFill="1" applyBorder="1" applyAlignment="1">
      <x:alignment horizontal="center"/>
    </x:xf>
    <x:xf numFmtId="0" fontId="2" fillId="2" borderId="48" xfId="0" applyNumberFormat="1" applyFont="1" applyFill="1" applyBorder="1" applyAlignment="1">
      <x:alignment horizontal="center"/>
    </x:xf>
    <x:xf numFmtId="0" fontId="2" fillId="2" borderId="49" xfId="0" applyNumberFormat="1" applyFont="1" applyFill="1" applyBorder="1" applyAlignment="1">
      <x:alignment horizontal="center"/>
    </x:xf>
    <x:xf numFmtId="0" fontId="2" fillId="2" borderId="50" xfId="0" applyNumberFormat="1" applyFont="1" applyFill="1" applyBorder="1" applyAlignment="1">
      <x:alignment horizontal="center"/>
    </x:xf>
    <x:xf numFmtId="0" fontId="2" fillId="2" borderId="51" xfId="0" applyNumberFormat="1" applyFont="1" applyFill="1" applyBorder="1" applyAlignment="1">
      <x:alignment horizontal="center"/>
    </x:xf>
    <x:xf numFmtId="0" fontId="0" fillId="0" borderId="47" xfId="0" applyNumberFormat="1" applyFont="1" applyFill="1" applyBorder="1" applyAlignment="1">
      <x:alignment horizontal="center"/>
    </x:xf>
    <x:xf numFmtId="0" fontId="0" fillId="0" borderId="48" xfId="0" applyNumberFormat="1" applyFont="1" applyFill="1" applyBorder="1" applyAlignment="1">
      <x:alignment horizontal="center"/>
    </x:xf>
    <x:xf numFmtId="0" fontId="0" fillId="0" borderId="49" xfId="0" applyNumberFormat="1" applyFont="1" applyFill="1" applyBorder="1" applyAlignment="1">
      <x:alignment horizontal="center"/>
    </x:xf>
    <x:xf numFmtId="0" fontId="0" fillId="0" borderId="51" xfId="0" applyNumberFormat="1" applyFont="1" applyFill="1" applyBorder="1" applyAlignment="1">
      <x:alignment horizontal="center"/>
    </x:xf>
    <x:xf numFmtId="0" fontId="0" fillId="0" borderId="52" xfId="0" applyNumberFormat="1" applyFont="1" applyFill="1" applyBorder="1" applyAlignment="1">
      <x:alignment horizontal="center" vertical="center" wrapText="1"/>
    </x:xf>
    <x:xf numFmtId="0" fontId="0" fillId="0" borderId="53" xfId="0" applyNumberFormat="1" applyFont="1" applyFill="1" applyBorder="1" applyAlignment="1">
      <x:alignment horizontal="center" vertical="center" wrapText="1"/>
    </x:xf>
    <x:xf numFmtId="0" fontId="0" fillId="0" borderId="52" xfId="0" applyNumberFormat="1" applyFont="1" applyFill="1" applyBorder="1" applyAlignment="1">
      <x:alignment horizontal="center" vertical="center"/>
    </x:xf>
    <x:xf numFmtId="0" fontId="0" fillId="0" borderId="5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9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2" borderId="6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27" xfId="0" applyNumberFormat="1" applyFont="1" applyFill="1" applyBorder="1" applyAlignment="1">
      <x:alignment horizontal="center"/>
    </x:xf>
    <x:xf numFmtId="200" fontId="0" fillId="0" borderId="30" xfId="0" applyNumberFormat="1" applyFont="1" applyFill="1" applyBorder="1" applyAlignment="1">
      <x:alignment horizontal="center"/>
    </x:xf>
    <x:xf numFmtId="200" fontId="0" fillId="0" borderId="43" xfId="0" applyNumberFormat="1" applyFont="1" applyFill="1" applyBorder="1" applyAlignment="1">
      <x:alignment horizontal="center"/>
    </x:xf>
    <x:xf numFmtId="200" fontId="0" fillId="0" borderId="48" xfId="0" applyNumberFormat="1" applyFont="1" applyFill="1" applyBorder="1" applyAlignment="1">
      <x:alignment horizontal="center"/>
    </x:xf>
    <x:xf numFmtId="200" fontId="0" fillId="0" borderId="27" xfId="0" applyNumberFormat="1" applyFont="1" applyFill="1" applyBorder="1"/>
    <x:xf numFmtId="200" fontId="2" fillId="2" borderId="50" xfId="0" applyNumberFormat="1" applyFont="1" applyFill="1" applyBorder="1" applyAlignment="1">
      <x:alignment horizontal="center"/>
    </x:xf>
    <x:xf numFmtId="200" fontId="0" fillId="0" borderId="38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2" xfId="0" applyNumberFormat="1" applyFont="1" applyFill="1" applyBorder="1"/>
    <x:xf numFmtId="200" fontId="0" fillId="0" borderId="40" xfId="0" applyNumberFormat="1" applyFont="1" applyFill="1" applyBorder="1" applyAlignment="1">
      <x:alignment horizontal="center"/>
    </x:xf>
    <x:xf numFmtId="200" fontId="0" fillId="0" borderId="29" xfId="0" applyNumberFormat="1" applyFont="1" applyFill="1" applyBorder="1"/>
    <x:xf numFmtId="200" fontId="0" fillId="0" borderId="30" xfId="0" applyNumberFormat="1" applyFont="1" applyFill="1" applyBorder="1"/>
    <x:xf numFmtId="200" fontId="0" fillId="0" borderId="23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/>
    </x:xf>
    <x:xf numFmtId="200" fontId="2" fillId="2" borderId="7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41" xfId="0" applyNumberFormat="1" applyFont="1" applyFill="1" applyBorder="1" applyAlignment="1">
      <x:alignment horizontal="center"/>
    </x:xf>
    <x:xf numFmtId="200" fontId="0" fillId="0" borderId="42" xfId="0" applyNumberFormat="1" applyFont="1" applyFill="1" applyBorder="1" applyAlignment="1">
      <x:alignment horizontal="center"/>
    </x:xf>
    <x:xf numFmtId="200" fontId="0" fillId="0" borderId="35" xfId="0" applyNumberFormat="1" applyFont="1" applyFill="1" applyBorder="1" applyAlignment="1">
      <x:alignment horizontal="center"/>
    </x:xf>
    <x:xf numFmtId="200" fontId="2" fillId="2" borderId="51" xfId="0" applyNumberFormat="1" applyFont="1" applyFill="1" applyBorder="1" applyAlignment="1">
      <x:alignment horizontal="center"/>
    </x:xf>
    <x:xf numFmtId="200" fontId="0" fillId="0" borderId="32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200" fontId="0" fillId="0" borderId="28" xfId="0" applyNumberFormat="1" applyFont="1" applyFill="1" applyBorder="1" applyAlignment="1">
      <x:alignment horizontal="center"/>
    </x:xf>
    <x:xf numFmtId="201" fontId="0" fillId="0" borderId="22" xfId="0" applyNumberFormat="1" applyFont="1" applyFill="1" applyBorder="1"/>
    <x:xf numFmtId="201" fontId="0" fillId="0" borderId="12" xfId="0" applyNumberFormat="1" applyFont="1" applyFill="1" applyBorder="1"/>
  </x:cellXfs>
  <x:cellStyles count="3">
    <x:cellStyle name="Bueno" xfId="2"/>
    <x:cellStyle name="Moneda" xfId="1"/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86d3d814ac93474e" Type="http://schemas.openxmlformats.org/officeDocument/2006/relationships/styles" Target="/xl/styles.xml"/><Relationship Id="rId2" Type="http://schemas.openxmlformats.org/officeDocument/2006/relationships/customXml" Target="../customXml/item2.xml"/><Relationship Id="Rc40fb07a04f04657" Type="http://schemas.openxmlformats.org/officeDocument/2006/relationships/theme" Target="/xl/theme/theme1.xml"/><Relationship Id="rId1" Type="http://schemas.openxmlformats.org/officeDocument/2006/relationships/customXml" Target="../customXml/item1.xml"/><Relationship Id="Rf2616dae3d914a48" Type="http://schemas.openxmlformats.org/officeDocument/2006/relationships/worksheet" Target="/xl/worksheets/sheet2.xml"/><Relationship Id="R52623a5de2554c4c" Type="http://schemas.openxmlformats.org/officeDocument/2006/relationships/sharedStrings" Target="/xl/sharedStrings.xml"/><Relationship Id="R04e3cdc25c1a4ad6" Type="http://schemas.openxmlformats.org/officeDocument/2006/relationships/worksheet" Target="/xl/worksheets/sheet1.xml"/><Relationship Id="R8493ce79b92847ad" Type="http://schemas.openxmlformats.org/officeDocument/2006/relationships/worksheet" Target="/xl/worksheets/sheet3.xml"/></Relationships>
</file>

<file path=xl/drawings/drawing1.xml><?xml version="1.0" encoding="utf-8"?>
<xdr:wsDr xmlns:xdr="http://schemas.openxmlformats.org/drawingml/2006/spreadsheetDrawing">
  <xdr:twoCellAnchor editAs="oneCell">
    <xdr:from>
      <xdr:col>9</xdr:col>
      <xdr:colOff>89297</xdr:colOff>
      <xdr:row>1</xdr:row>
      <xdr:rowOff>89297</xdr:rowOff>
    </xdr:from>
    <xdr:to>
      <xdr:col>11</xdr:col>
      <xdr:colOff>47625</xdr:colOff>
      <xdr:row>4</xdr:row>
      <xdr:rowOff>5953</xdr:rowOff>
    </xdr:to>
    <xdr:sp>
      <xdr:nvSpPr>
        <xdr:cNvPr id="1" name="Flecha: a la derecha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388078" y="291703"/>
          <a:ext cx="1482328" cy="523875"/>
        </a:xfrm>
        <a:prstGeom xmlns:a="http://schemas.openxmlformats.org/drawingml/2006/main" prst="rightArrow">
          <a:avLst/>
        </a:prstGeom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100"/>
            <a:t>REQUERIMIENTOS</a:t>
          </a:r>
          <a:endParaRPr/>
        </a:p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742950</xdr:colOff>
      <xdr:row>1</xdr:row>
      <xdr:rowOff>114300</xdr:rowOff>
    </xdr:from>
    <xdr:to>
      <xdr:col>5</xdr:col>
      <xdr:colOff>295275</xdr:colOff>
      <xdr:row>4</xdr:row>
      <xdr:rowOff>47625</xdr:rowOff>
    </xdr:to>
    <xdr:sp>
      <xdr:nvSpPr>
        <xdr:cNvPr id="1" name="Flecha: a la derecha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591050" y="304800"/>
          <a:ext cx="952500" cy="504825"/>
        </a:xfrm>
        <a:prstGeom xmlns:a="http://schemas.openxmlformats.org/drawingml/2006/main" prst="rightArrow">
          <a:avLst/>
        </a:prstGeom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57150</xdr:colOff>
      <xdr:row>1</xdr:row>
      <xdr:rowOff>76200</xdr:rowOff>
    </xdr:from>
    <xdr:to>
      <xdr:col>2</xdr:col>
      <xdr:colOff>1000125</xdr:colOff>
      <xdr:row>4</xdr:row>
      <xdr:rowOff>47625</xdr:rowOff>
    </xdr:to>
    <xdr:sp>
      <xdr:nvSpPr>
        <xdr:cNvPr id="2" name="Flecha: hacia la izquierda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1150" y="266700"/>
          <a:ext cx="942975" cy="542925"/>
        </a:xfrm>
        <a:prstGeom xmlns:a="http://schemas.openxmlformats.org/drawingml/2006/main" prst="leftArrow">
          <a:avLst/>
        </a:prstGeom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594555a8a042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d094b1ecb864a93" /></Relationships>
</file>

<file path=xl/worksheets/sheet1.xml><?xml version="1.0" encoding="utf-8"?>
<x:worksheet xmlns:x="http://schemas.openxmlformats.org/spreadsheetml/2006/main">
  <x:sheetFormatPr defaultColWidth="11.42578125" defaultRowHeight="15"/>
  <x:cols>
    <x:col min="2" max="2" width="37" hidden="0" customWidth="1"/>
    <x:col min="3" max="3" width="19" hidden="0" customWidth="1"/>
    <x:col min="4" max="4" width="22" hidden="0" customWidth="1"/>
    <x:col min="5" max="5" width="15.42578125" customWidth="1"/>
    <x:col min="6" max="6" width="14.85546875" customWidth="1"/>
    <x:col min="7" max="7" width="15.7109375" customWidth="1"/>
    <x:col min="8" max="8" width="17" customWidth="1"/>
  </x:cols>
  <x:sheetData>
    <x:row r="1" ht="15.75">
      <x:c r="B1" s="50" t="s">
        <x:v>0</x:v>
      </x:c>
      <x:c r="C1" s="51"/>
      <x:c r="D1" s="51"/>
      <x:c r="E1" s="51"/>
      <x:c r="F1" s="51"/>
      <x:c r="G1" s="51"/>
      <x:c r="H1" s="52"/>
    </x:row>
    <x:row r="2" ht="70.5" customHeight="1">
      <x:c r="B2" s="50" t="str">
        <x:v>HIRE-U | Red profesional de egresados - Universidad San Buenaventura</x:v>
      </x:c>
      <x:c r="C2" s="51"/>
      <x:c r="D2" s="51"/>
      <x:c r="E2" s="51"/>
      <x:c r="F2" s="51"/>
      <x:c r="G2" s="51"/>
      <x:c r="H2" s="52"/>
    </x:row>
    <x:row r="3" ht="15.75"/>
    <x:row r="4" ht="15.75">
      <x:c r="F4" s="50" t="str">
        <x:v>RECURSOS ESTIMADOS (EDITABLES)</x:v>
      </x:c>
      <x:c r="G4" s="51"/>
      <x:c r="H4" s="52"/>
    </x:row>
    <x:row r="5" ht="15.75">
      <x:c r="B5" s="55" t="s">
        <x:v>1</x:v>
      </x:c>
      <x:c r="C5" s="55" t="s">
        <x:v>2</x:v>
      </x:c>
      <x:c r="D5" s="57" t="s">
        <x:v>3</x:v>
      </x:c>
      <x:c r="E5" s="57" t="s">
        <x:v>4</x:v>
      </x:c>
      <x:c r="F5" s="3" t="s">
        <x:v>5</x:v>
      </x:c>
      <x:c r="G5" s="3" t="s">
        <x:v>6</x:v>
      </x:c>
      <x:c r="H5" s="3" t="s">
        <x:v>7</x:v>
      </x:c>
    </x:row>
    <x:row r="6" ht="15.75">
      <x:c r="B6" s="56"/>
      <x:c r="C6" s="56"/>
      <x:c r="D6" s="58"/>
      <x:c r="E6" s="58"/>
      <x:c r="F6" s="12" t="n">
        <x:v>0</x:v>
      </x:c>
      <x:c r="G6" s="12" t="n">
        <x:v>0</x:v>
      </x:c>
      <x:c r="H6" s="13" t="n">
        <x:v>0</x:v>
      </x:c>
    </x:row>
    <x:row r="7" ht="15.75">
      <x:c r="B7" s="44" t="s">
        <x:v>8</x:v>
      </x:c>
      <x:c r="C7" s="45"/>
      <x:c r="D7" s="45"/>
      <x:c r="E7" s="45"/>
      <x:c r="F7" s="45"/>
      <x:c r="G7" s="45"/>
      <x:c r="H7" s="46"/>
    </x:row>
    <x:row r="8">
      <x:c r="A8">
        <x:v>1</x:v>
      </x:c>
      <x:c r="B8" s="25" t="str">
        <x:v>Hardware</x:v>
      </x:c>
      <x:c r="C8" s="30" t="str">
        <x:v>Lote</x:v>
      </x:c>
      <x:c r="D8" s="31" t="n">
        <x:v>1</x:v>
      </x:c>
      <x:c r="E8" s="110" t="n">
        <x:f>'REQUERIMIENTOS '!F14</x:f>
        <x:v>980000</x:v>
      </x:c>
      <x:c r="F8" s="124" t="n">
        <x:f>E8</x:f>
        <x:v>980000</x:v>
      </x:c>
      <x:c r="G8" s="124"/>
      <x:c r="H8" s="130"/>
    </x:row>
    <x:row r="9">
      <x:c r="A9">
        <x:v>2</x:v>
      </x:c>
      <x:c r="B9" s="7" t="str">
        <x:v>Software y servicios</x:v>
      </x:c>
      <x:c r="C9" s="30" t="str">
        <x:v>Lote</x:v>
      </x:c>
      <x:c r="D9" s="17" t="n">
        <x:v>1</x:v>
      </x:c>
      <x:c r="E9" s="111" t="n">
        <x:f>'REQUERIMIENTOS '!F25</x:f>
        <x:v>67000</x:v>
      </x:c>
      <x:c r="F9" s="111" t="n">
        <x:f>E9</x:f>
        <x:v>67000</x:v>
      </x:c>
      <x:c r="G9" s="111"/>
      <x:c r="H9" s="131"/>
    </x:row>
    <x:row r="10">
      <x:c r="A10">
        <x:v>3</x:v>
      </x:c>
      <x:c r="B10" s="7" t="str">
        <x:v>Seguridad y respaldo</x:v>
      </x:c>
      <x:c r="C10" s="30" t="str">
        <x:v>Proyecto</x:v>
      </x:c>
      <x:c r="D10" s="17" t="n">
        <x:v>1</x:v>
      </x:c>
      <x:c r="E10" s="111" t="n">
        <x:f>300000</x:f>
        <x:v>300000</x:v>
      </x:c>
      <x:c r="F10" s="111" t="n">
        <x:f>E10</x:f>
        <x:v>300000</x:v>
      </x:c>
      <x:c r="G10" s="111"/>
      <x:c r="H10" s="131"/>
    </x:row>
    <x:row r="11">
      <x:c r="A11">
        <x:v>4</x:v>
      </x:c>
      <x:c r="B11" s="7" t="str">
        <x:v>Diseño UI/UX y prototipos</x:v>
      </x:c>
      <x:c r="C11" s="30" t="str">
        <x:v>Proyecto</x:v>
      </x:c>
      <x:c r="D11" s="17" t="n">
        <x:v>1</x:v>
      </x:c>
      <x:c r="E11" s="111" t="n">
        <x:f>600000</x:f>
        <x:v>600000</x:v>
      </x:c>
      <x:c r="F11" s="111" t="n">
        <x:f>E11</x:f>
        <x:v>600000</x:v>
      </x:c>
      <x:c r="G11" s="111"/>
      <x:c r="H11" s="131"/>
    </x:row>
    <x:row r="12">
      <x:c r="A12">
        <x:v>5</x:v>
      </x:c>
      <x:c r="B12" s="7" t="str">
        <x:v>Desarrollo frontend y backend</x:v>
      </x:c>
      <x:c r="C12" s="17" t="str">
        <x:v>Proyecto</x:v>
      </x:c>
      <x:c r="D12" s="17" t="n">
        <x:v>1</x:v>
      </x:c>
      <x:c r="E12" s="111" t="n">
        <x:f>3200000</x:f>
        <x:v>3200000</x:v>
      </x:c>
      <x:c r="F12" s="111" t="n">
        <x:f>E12</x:f>
        <x:v>3200000</x:v>
      </x:c>
      <x:c r="G12" s="111"/>
      <x:c r="H12" s="131"/>
    </x:row>
    <x:row r="13" ht="15.75">
      <x:c r="A13">
        <x:v>6</x:v>
      </x:c>
      <x:c r="B13" s="8" t="str">
        <x:v>Base de datos MySQL</x:v>
      </x:c>
      <x:c r="C13" s="36" t="str">
        <x:v>Proyecto</x:v>
      </x:c>
      <x:c r="D13" s="36" t="n">
        <x:v>1</x:v>
      </x:c>
      <x:c r="E13" s="112" t="n">
        <x:f>700000</x:f>
        <x:v>700000</x:v>
      </x:c>
      <x:c r="F13" s="112" t="n">
        <x:f>E13</x:f>
        <x:v>700000</x:v>
      </x:c>
      <x:c r="G13" s="112"/>
      <x:c r="H13" s="132"/>
    </x:row>
    <x:row r="14" ht="15.75">
      <x:c r="B14" s="50" t="s">
        <x:v>9</x:v>
      </x:c>
      <x:c r="C14" s="51"/>
      <x:c r="D14" s="51"/>
      <x:c r="E14" s="113" t="n">
        <x:f>SUM(E8:E13)</x:f>
        <x:v>5847000</x:v>
      </x:c>
      <x:c r="F14" s="125" t="n">
        <x:f>SUM(F8:F13)</x:f>
        <x:v>5847000</x:v>
      </x:c>
      <x:c r="G14" s="125" t="n">
        <x:f>SUM(G8:G13)</x:f>
        <x:v>0</x:v>
      </x:c>
      <x:c r="H14" s="125" t="n">
        <x:f t="shared" ref="H14" si="0">SUM(H8:H13)</x:f>
        <x:v>0</x:v>
      </x:c>
    </x:row>
    <x:row r="15" ht="15.75">
      <x:c r="E15" s="114"/>
      <x:c r="F15" s="114"/>
      <x:c r="G15" s="114"/>
      <x:c r="H15" s="114"/>
    </x:row>
    <x:row r="16" ht="15.75">
      <x:c r="B16" s="47" t="s">
        <x:v>10</x:v>
      </x:c>
      <x:c r="C16" s="48"/>
      <x:c r="D16" s="48"/>
      <x:c r="E16" s="115"/>
      <x:c r="F16" s="115"/>
      <x:c r="G16" s="115"/>
      <x:c r="H16" s="133"/>
    </x:row>
    <x:row r="17" ht="29.25" customHeight="1">
      <x:c r="B17" s="27" t="str">
        <x:v>Recolección de información</x:v>
      </x:c>
      <x:c r="C17" s="15" t="str">
        <x:v>Actividad</x:v>
      </x:c>
      <x:c r="D17" s="15" t="n">
        <x:v>1</x:v>
      </x:c>
      <x:c r="E17" s="116" t="n">
        <x:f>SUM('REQUERIMIENTOS '!L9:L12)</x:f>
        <x:v>320000</x:v>
      </x:c>
      <x:c r="F17" s="116" t="n">
        <x:f>E17</x:f>
        <x:v>320000</x:v>
      </x:c>
      <x:c r="G17" s="116"/>
      <x:c r="H17" s="134"/>
    </x:row>
    <x:row r="18">
      <x:c r="B18" s="7" t="str">
        <x:v>Transporte y reuniones</x:v>
      </x:c>
      <x:c r="C18" s="17" t="str">
        <x:v>Actividad</x:v>
      </x:c>
      <x:c r="D18" s="17" t="n">
        <x:v>1</x:v>
      </x:c>
      <x:c r="E18" s="111" t="n">
        <x:f>150000</x:f>
        <x:v>150000</x:v>
      </x:c>
      <x:c r="F18" s="111" t="n">
        <x:f>E18</x:f>
        <x:v>150000</x:v>
      </x:c>
      <x:c r="G18" s="111"/>
      <x:c r="H18" s="131"/>
    </x:row>
    <x:row r="19">
      <x:c r="B19" s="7" t="str">
        <x:v>Capacitación Scrum y herramientas</x:v>
      </x:c>
      <x:c r="C19" s="17" t="str">
        <x:v>Actividad</x:v>
      </x:c>
      <x:c r="D19" s="17" t="n">
        <x:v>1</x:v>
      </x:c>
      <x:c r="E19" s="111" t="n">
        <x:f>250000</x:f>
        <x:v>250000</x:v>
      </x:c>
      <x:c r="F19" s="111" t="n">
        <x:f>E19</x:f>
        <x:v>250000</x:v>
      </x:c>
      <x:c r="G19" s="111"/>
      <x:c r="H19" s="131"/>
    </x:row>
    <x:row r="20">
      <x:c r="B20" s="7" t="str">
        <x:v>Pruebas funcionales y de seguridad</x:v>
      </x:c>
      <x:c r="C20" s="17" t="str">
        <x:v>Actividad</x:v>
      </x:c>
      <x:c r="D20" s="17" t="n">
        <x:v>1</x:v>
      </x:c>
      <x:c r="E20" s="111" t="n">
        <x:f>450000</x:f>
        <x:v>450000</x:v>
      </x:c>
      <x:c r="F20" s="111" t="n">
        <x:f>E20</x:f>
        <x:v>450000</x:v>
      </x:c>
      <x:c r="G20" s="111"/>
      <x:c r="H20" s="131"/>
    </x:row>
    <x:row r="21">
      <x:c r="B21" s="7" t="str">
        <x:v>Despliegue y configuración inicial</x:v>
      </x:c>
      <x:c r="C21" s="17" t="str">
        <x:v>Actividad</x:v>
      </x:c>
      <x:c r="D21" s="17" t="n">
        <x:v>1</x:v>
      </x:c>
      <x:c r="E21" s="111" t="n">
        <x:f>300000</x:f>
        <x:v>300000</x:v>
      </x:c>
      <x:c r="F21" s="111" t="n">
        <x:f>E21</x:f>
        <x:v>300000</x:v>
      </x:c>
      <x:c r="G21" s="111"/>
      <x:c r="H21" s="131"/>
    </x:row>
    <x:row r="22" ht="15.75">
      <x:c r="B22" s="8" t="str">
        <x:v>Contingencia y ajustes</x:v>
      </x:c>
      <x:c r="C22" s="36" t="str">
        <x:v>Actividad</x:v>
      </x:c>
      <x:c r="D22" s="36" t="n">
        <x:v>1</x:v>
      </x:c>
      <x:c r="E22" s="112" t="n">
        <x:f>500000</x:f>
        <x:v>500000</x:v>
      </x:c>
      <x:c r="F22" s="112" t="n">
        <x:f>E22</x:f>
        <x:v>500000</x:v>
      </x:c>
      <x:c r="G22" s="112"/>
      <x:c r="H22" s="132"/>
    </x:row>
    <x:row r="23" ht="15.75">
      <x:c r="B23" s="50" t="s">
        <x:v>9</x:v>
      </x:c>
      <x:c r="C23" s="51"/>
      <x:c r="D23" s="51"/>
      <x:c r="E23" s="113" t="n">
        <x:f>SUM(E17:E22)</x:f>
        <x:v>1970000</x:v>
      </x:c>
      <x:c r="F23" s="125" t="n">
        <x:f>SUM(F17:F22)</x:f>
        <x:v>1970000</x:v>
      </x:c>
      <x:c r="G23" s="125" t="n">
        <x:f t="shared" ref="G23" si="1">SUM(G17:G22)</x:f>
        <x:v>0</x:v>
      </x:c>
      <x:c r="H23" s="125" t="n">
        <x:f t="shared" ref="H23" si="2">SUM(H17:H22)</x:f>
        <x:v>0</x:v>
      </x:c>
    </x:row>
    <x:row r="24">
      <x:c r="E24" s="114"/>
      <x:c r="F24" s="114"/>
      <x:c r="G24" s="114"/>
      <x:c r="H24" s="114"/>
    </x:row>
    <x:row r="25" ht="15.75">
      <x:c r="E25" s="114"/>
      <x:c r="F25" s="114"/>
      <x:c r="G25" s="114"/>
      <x:c r="H25" s="114"/>
    </x:row>
    <x:row r="26" ht="15.75">
      <x:c r="B26" s="53" t="s">
        <x:v>11</x:v>
      </x:c>
      <x:c r="C26" s="54"/>
      <x:c r="D26" t="n">
        <x:f>E14+E23</x:f>
        <x:v>7817000</x:v>
      </x:c>
      <x:c r="E26" s="114" t="str">
        <x:v>COP</x:v>
      </x:c>
      <x:c r="F26" s="126" t="n">
        <x:f>F14+F23</x:f>
        <x:v>7817000</x:v>
      </x:c>
      <x:c r="G26" s="126" t="n">
        <x:f t="shared" ref="G26:H26" si="3">G14+G23</x:f>
        <x:v>0</x:v>
      </x:c>
      <x:c r="H26" s="126" t="n">
        <x:f t="shared" si="3">H14+H23</x:f>
        <x:v>0</x:v>
      </x:c>
    </x:row>
    <x:row r="27">
      <x:c r="B27" s="5" t="s">
        <x:v>12</x:v>
      </x:c>
      <x:c r="C27" s="6"/>
      <x:c r="E27" s="114" t="n">
        <x:f>E14</x:f>
        <x:v>5847000</x:v>
      </x:c>
      <x:c r="F27" s="114"/>
      <x:c r="G27" s="114"/>
      <x:c r="H27" s="114"/>
    </x:row>
    <x:row r="28" ht="15.75">
      <x:c r="B28" s="8" t="s">
        <x:v>13</x:v>
      </x:c>
      <x:c r="C28" s="9"/>
      <x:c r="E28" s="114" t="n">
        <x:f>E23</x:f>
        <x:v>1970000</x:v>
      </x:c>
      <x:c r="F28" s="114"/>
      <x:c r="G28" s="114"/>
      <x:c r="H28" s="114"/>
    </x:row>
    <x:row r="30">
      <x:c r="B30" t="str">
        <x:v>NOTA: Presupuesto estimado. La financiación se registra en F:H; modificar según fuentes reales.</x:v>
      </x:c>
    </x:row>
    <x:row r="31">
      <x:c r="B31" t="str">
        <x:v>Fuente técnica: HIRE-U Documento 2.0 (alcance, tecnologías, Scrum y pruebas).</x:v>
      </x:c>
    </x:row>
  </x:sheetData>
  <x:mergeCells>
    <x:mergeCell ref="B1:H1"/>
    <x:mergeCell ref="B2:H2"/>
    <x:mergeCell ref="F4:H4"/>
    <x:mergeCell ref="B5:B6"/>
    <x:mergeCell ref="C5:C6"/>
    <x:mergeCell ref="D5:D6"/>
    <x:mergeCell ref="E5:E6"/>
    <x:mergeCell ref="B7:H7"/>
    <x:mergeCell ref="B16:H16"/>
    <x:mergeCell ref="B14:E14"/>
    <x:mergeCell ref="B23:E23"/>
    <x:mergeCell ref="B26:C26"/>
  </x:mergeCells>
  <x:pageMargins left="0.7" right="0.7" top="0.75" bottom="0.75" header="0.3" footer="0.3"/>
  <x:drawing xmlns:r="http://schemas.openxmlformats.org/officeDocument/2006/relationships" r:id="Rc5594555a8a04242"/>
</x:worksheet>
</file>

<file path=xl/worksheets/sheet2.xml><?xml version="1.0" encoding="utf-8"?>
<x:worksheet xmlns:x="http://schemas.openxmlformats.org/spreadsheetml/2006/main">
  <x:sheetFormatPr defaultColWidth="11.42578125" defaultRowHeight="15"/>
  <x:cols>
    <x:col min="3" max="3" width="19" hidden="0" customWidth="1"/>
    <x:col min="4" max="4" width="22" hidden="0" customWidth="1"/>
    <x:col min="5" max="5" width="21" customWidth="1"/>
    <x:col min="6" max="6" width="16" customWidth="1"/>
    <x:col min="9" max="9" width="18.5703125" customWidth="1"/>
    <x:col min="10" max="10" width="16.28515625" customWidth="1"/>
    <x:col min="11" max="11" width="13.42578125" customWidth="1"/>
    <x:col min="12" max="12" width="13" customWidth="1"/>
    <x:col min="2" max="2" width="37" hidden="0" customWidth="1"/>
  </x:cols>
  <x:sheetData>
    <x:row r="5" ht="15.75"/>
    <x:row r="6" ht="15.75">
      <x:c r="B6" s="50" t="s">
        <x:v>14</x:v>
      </x:c>
      <x:c r="C6" s="51"/>
      <x:c r="D6" s="51"/>
      <x:c r="E6" s="51"/>
      <x:c r="F6" s="52"/>
      <x:c r="H6" s="50" t="s">
        <x:v>15</x:v>
      </x:c>
      <x:c r="I6" s="51"/>
      <x:c r="J6" s="51"/>
      <x:c r="K6" s="51"/>
      <x:c r="L6" s="52"/>
    </x:row>
    <x:row r="7" ht="15.75"/>
    <x:row r="8" ht="15.75">
      <x:c r="B8" s="10" t="s">
        <x:v>16</x:v>
      </x:c>
      <x:c r="C8" s="14" t="s">
        <x:v>2</x:v>
      </x:c>
      <x:c r="D8" s="10" t="s">
        <x:v>17</x:v>
      </x:c>
      <x:c r="E8" s="10" t="s">
        <x:v>18</x:v>
      </x:c>
      <x:c r="F8" s="10" t="s">
        <x:v>19</x:v>
      </x:c>
      <x:c r="H8" s="28" t="s">
        <x:v>16</x:v>
      </x:c>
      <x:c r="I8" s="2" t="s">
        <x:v>3</x:v>
      </x:c>
      <x:c r="J8" s="28" t="s">
        <x:v>17</x:v>
      </x:c>
      <x:c r="K8" s="28" t="s">
        <x:v>20</x:v>
      </x:c>
      <x:c r="L8" s="28" t="s">
        <x:v>19</x:v>
      </x:c>
      <x:c r="M8" s="1"/>
    </x:row>
    <x:row r="9" ht="15.75">
      <x:c r="B9" s="5" t="str">
        <x:v>Computador para desarrollo</x:v>
      </x:c>
      <x:c r="C9" s="15" t="str">
        <x:v>Unidad</x:v>
      </x:c>
      <x:c r="D9" s="116" t="n">
        <x:v>2400000</x:v>
      </x:c>
      <x:c r="E9" s="116" t="n">
        <x:v>2</x:v>
      </x:c>
      <x:c r="F9" s="116" t="n">
        <x:f>D9*E9</x:f>
        <x:v>4800000</x:v>
      </x:c>
      <x:c r="H9" s="5" t="str">
        <x:v>Encuestas a egresados</x:v>
      </x:c>
      <x:c r="I9" s="15" t="n">
        <x:v>150</x:v>
      </x:c>
      <x:c r="J9" s="116" t="n">
        <x:v>0</x:v>
      </x:c>
      <x:c r="K9" s="116" t="n">
        <x:v>1</x:v>
      </x:c>
      <x:c r="L9" s="116" t="n">
        <x:f>I9*J9*K9</x:f>
        <x:v>0</x:v>
      </x:c>
    </x:row>
    <x:row r="10" ht="15.75">
      <x:c r="B10" s="7" t="str">
        <x:v>Monitor de trabajo</x:v>
      </x:c>
      <x:c r="C10" s="15" t="str">
        <x:v>Unidad</x:v>
      </x:c>
      <x:c r="D10" s="111" t="n">
        <x:v>550000</x:v>
      </x:c>
      <x:c r="E10" s="111" t="n">
        <x:v>2</x:v>
      </x:c>
      <x:c r="F10" s="116" t="n">
        <x:f t="shared" ref="F10:F12" si="0">D10*E10</x:f>
        <x:v>1100000</x:v>
      </x:c>
      <x:c r="H10" s="7" t="str">
        <x:v>Entrevistas y validación</x:v>
      </x:c>
      <x:c r="I10" s="15" t="n">
        <x:v>8</x:v>
      </x:c>
      <x:c r="J10" s="111" t="n">
        <x:v>15000</x:v>
      </x:c>
      <x:c r="K10" s="111" t="n">
        <x:v>1</x:v>
      </x:c>
      <x:c r="L10" s="116" t="n">
        <x:f t="shared" ref="L10:L12" si="1">I10*J10*K10</x:f>
        <x:v>120000</x:v>
      </x:c>
    </x:row>
    <x:row r="11" ht="15.75">
      <x:c r="B11" s="7" t="str">
        <x:v>Teclado y mouse</x:v>
      </x:c>
      <x:c r="C11" s="15" t="str">
        <x:v>Kit</x:v>
      </x:c>
      <x:c r="D11" s="111" t="n">
        <x:v>120000</x:v>
      </x:c>
      <x:c r="E11" s="111" t="n">
        <x:v>2</x:v>
      </x:c>
      <x:c r="F11" s="116" t="n">
        <x:f t="shared" si="0">D11*E11</x:f>
        <x:v>240000</x:v>
      </x:c>
      <x:c r="H11" s="7" t="str">
        <x:v>Incentivos para pruebas de usuario</x:v>
      </x:c>
      <x:c r="I11" s="15" t="n">
        <x:v>12</x:v>
      </x:c>
      <x:c r="J11" s="111" t="n">
        <x:v>10000</x:v>
      </x:c>
      <x:c r="K11" s="111" t="n">
        <x:v>1</x:v>
      </x:c>
      <x:c r="L11" s="116" t="n">
        <x:f t="shared" si="1">I11*J11*K11</x:f>
        <x:v>120000</x:v>
      </x:c>
    </x:row>
    <x:row r="12">
      <x:c r="B12" s="7" t="str">
        <x:v>Dispositivo móvil para pruebas</x:v>
      </x:c>
      <x:c r="C12" s="15" t="str">
        <x:v>Unidad</x:v>
      </x:c>
      <x:c r="D12" s="111" t="n">
        <x:v>850000</x:v>
      </x:c>
      <x:c r="E12" s="111" t="n">
        <x:v>1</x:v>
      </x:c>
      <x:c r="F12" s="116" t="n">
        <x:f t="shared" si="0">D12*E12</x:f>
        <x:v>850000</x:v>
      </x:c>
      <x:c r="H12" s="7" t="str">
        <x:v>Material de investigación</x:v>
      </x:c>
      <x:c r="I12" s="15" t="n">
        <x:v>1</x:v>
      </x:c>
      <x:c r="J12" s="111" t="n">
        <x:v>80000</x:v>
      </x:c>
      <x:c r="K12" s="111" t="n">
        <x:v>1</x:v>
      </x:c>
      <x:c r="L12" s="116" t="n">
        <x:f t="shared" si="1">I12*J12*K12</x:f>
        <x:v>80000</x:v>
      </x:c>
    </x:row>
    <x:row r="13">
      <x:c r="D13" s="114"/>
      <x:c r="E13" s="114"/>
      <x:c r="F13" s="114"/>
    </x:row>
    <x:row r="14">
      <x:c r="D14" s="114"/>
      <x:c r="E14" s="114" t="s">
        <x:v>21</x:v>
      </x:c>
      <x:c r="F14" s="114">
        <x:f>SUM(F9:F12)</x:f>
        <x:v>980000</x:v>
      </x:c>
    </x:row>
    <x:row r="15">
      <x:c r="D15" s="114"/>
      <x:c r="E15" s="114"/>
      <x:c r="F15" s="114"/>
    </x:row>
    <x:row r="16" ht="15.75">
      <x:c r="D16" s="114"/>
      <x:c r="E16" s="114"/>
      <x:c r="F16" s="114"/>
    </x:row>
    <x:row r="17" ht="15.75">
      <x:c r="B17" s="50" t="s">
        <x:v>22</x:v>
      </x:c>
      <x:c r="C17" s="51"/>
      <x:c r="D17" s="140"/>
      <x:c r="E17" s="140"/>
      <x:c r="F17" s="113"/>
    </x:row>
    <x:row r="18" ht="15.75">
      <x:c r="D18" s="114"/>
      <x:c r="E18" s="114"/>
      <x:c r="F18" s="114"/>
    </x:row>
    <x:row r="19" ht="15.75">
      <x:c r="B19" s="10" t="s">
        <x:v>16</x:v>
      </x:c>
      <x:c r="C19" s="14" t="s">
        <x:v>2</x:v>
      </x:c>
      <x:c r="D19" s="125" t="s">
        <x:v>17</x:v>
      </x:c>
      <x:c r="E19" s="125" t="s">
        <x:v>18</x:v>
      </x:c>
      <x:c r="F19" s="125" t="s">
        <x:v>19</x:v>
      </x:c>
    </x:row>
    <x:row r="20" ht="15.75">
      <x:c r="B20" s="5" t="str">
        <x:v>Hosting y despliegue</x:v>
      </x:c>
      <x:c r="C20" s="15" t="str">
        <x:v>Mes</x:v>
      </x:c>
      <x:c r="D20" s="116" t="n">
        <x:v>85000</x:v>
      </x:c>
      <x:c r="E20" s="116" t="n">
        <x:v>6</x:v>
      </x:c>
      <x:c r="F20" s="116" t="n">
        <x:f>D20*E20</x:f>
        <x:v>510000</x:v>
      </x:c>
    </x:row>
    <x:row r="21" ht="15.75">
      <x:c r="B21" s="7" t="str">
        <x:v>Dominio web</x:v>
      </x:c>
      <x:c r="C21" s="15" t="str">
        <x:v>Año</x:v>
      </x:c>
      <x:c r="D21" s="111" t="n">
        <x:v>70000</x:v>
      </x:c>
      <x:c r="E21" s="111" t="n">
        <x:v>1</x:v>
      </x:c>
      <x:c r="F21" s="116" t="n">
        <x:f>D21*E21</x:f>
        <x:v>70000</x:v>
      </x:c>
    </x:row>
    <x:row r="22" ht="15.75">
      <x:c r="B22" s="7" t="str">
        <x:v>Servicios de correo/notificaciones</x:v>
      </x:c>
      <x:c r="C22" s="15" t="str">
        <x:v>Mes</x:v>
      </x:c>
      <x:c r="D22" s="111" t="n">
        <x:v>35000</x:v>
      </x:c>
      <x:c r="E22" s="111" t="n">
        <x:v>6</x:v>
      </x:c>
      <x:c r="F22" s="116" t="n">
        <x:f>D22*E22</x:f>
        <x:v>210000</x:v>
      </x:c>
    </x:row>
    <x:row r="23">
      <x:c r="B23" s="7" t="str">
        <x:v>Repositorio GitHub (plan gratuito)</x:v>
      </x:c>
      <x:c r="C23" s="15" t="str">
        <x:v>Proyecto</x:v>
      </x:c>
      <x:c r="D23" s="111" t="n">
        <x:v>0</x:v>
      </x:c>
      <x:c r="E23" s="111" t="n">
        <x:v>1</x:v>
      </x:c>
      <x:c r="F23" s="116" t="n">
        <x:f>D23*E23</x:f>
        <x:v>0</x:v>
      </x:c>
    </x:row>
    <x:row r="24">
      <x:c r="D24" s="114"/>
      <x:c r="E24" s="114"/>
      <x:c r="F24" s="114"/>
    </x:row>
    <x:row r="25">
      <x:c r="D25" s="114"/>
      <x:c r="E25" s="114" t="s">
        <x:v>21</x:v>
      </x:c>
      <x:c r="F25" s="114">
        <x:f>SUM(F20:F23)</x:f>
        <x:v>67000</x:v>
      </x:c>
    </x:row>
  </x:sheetData>
  <x:mergeCells>
    <x:mergeCell ref="B6:F6"/>
    <x:mergeCell ref="B17:F17"/>
    <x:mergeCell ref="H6:L6"/>
  </x:mergeCells>
  <x:pageMargins left="0.7" right="0.7" top="0.75" bottom="0.75" header="0.3" footer="0.3"/>
  <x:drawing xmlns:r="http://schemas.openxmlformats.org/officeDocument/2006/relationships" r:id="R0d094b1ecb864a93"/>
</x:worksheet>
</file>

<file path=xl/worksheets/sheet3.xml><?xml version="1.0" encoding="utf-8"?>
<x:worksheet xmlns:x="http://schemas.openxmlformats.org/spreadsheetml/2006/main">
  <x:sheetFormatPr defaultColWidth="11.42578125" defaultRowHeight="15"/>
  <x:cols>
    <x:col min="2" max="2" width="37" hidden="0" customWidth="1"/>
    <x:col min="3" max="3" width="19" hidden="0" customWidth="1"/>
    <x:col min="4" max="4" width="64" hidden="0" customWidth="1"/>
  </x:cols>
  <x:sheetData>
    <x:row r="3" ht="15.75"/>
    <x:row r="4" ht="15.75">
      <x:c r="B4" s="41" t="str">
        <x:v>CONCEPTO</x:v>
      </x:c>
      <x:c r="C4" s="42" t="str">
        <x:v>COSTO UNITARIO (COP)</x:v>
      </x:c>
      <x:c r="D4" s="43" t="str">
        <x:v>FUENTE / SUPUESTO</x:v>
      </x:c>
    </x:row>
    <x:row r="5">
      <x:c r="B5" s="26" t="str">
        <x:v>Hardware</x:v>
      </x:c>
      <x:c r="C5" s="142" t="n">
        <x:v>2400000</x:v>
      </x:c>
      <x:c r="D5" s="26" t="str">
        <x:v>Estimación académica: computador para desarrollo</x:v>
      </x:c>
    </x:row>
    <x:row r="6">
      <x:c r="B6" s="4" t="str">
        <x:v>Hosting mensual</x:v>
      </x:c>
      <x:c r="C6" s="143" t="n">
        <x:v>85000</x:v>
      </x:c>
      <x:c r="D6" s="4" t="str">
        <x:v>Estimación; Python, HTML, CSS, Java y MySQL descritos en PDF</x:v>
      </x:c>
    </x:row>
    <x:row r="7">
      <x:c r="B7" s="4" t="str">
        <x:v>Dominio anual</x:v>
      </x:c>
      <x:c r="C7" s="143" t="n">
        <x:v>70000</x:v>
      </x:c>
      <x:c r="D7" s="4" t="str">
        <x:v>Estimación académica; no cotización</x:v>
      </x:c>
    </x:row>
    <x:row r="8">
      <x:c r="B8" s="4" t="str">
        <x:v>Diseño UI/UX</x:v>
      </x:c>
      <x:c r="C8" s="143" t="n">
        <x:v>600000</x:v>
      </x:c>
      <x:c r="D8" s="4" t="str">
        <x:v>Estimación para prototipos Justinmind</x:v>
      </x:c>
    </x:row>
    <x:row r="9">
      <x:c r="B9" s="4" t="str">
        <x:v>Desarrollo</x:v>
      </x:c>
      <x:c r="C9" s="143" t="n">
        <x:v>3200000</x:v>
      </x:c>
      <x:c r="D9" s="4" t="str">
        <x:v>Estimación de dedicación de equipo</x:v>
      </x:c>
    </x:row>
    <x:row r="10">
      <x:c r="B10" s="4" t="str">
        <x:v>Encuestas</x:v>
      </x:c>
      <x:c r="C10" s="143" t="n">
        <x:v>0</x:v>
      </x:c>
      <x:c r="D10" s="4" t="str">
        <x:v>150 respuestas indicadas en gráficos del PDF</x:v>
      </x:c>
    </x:row>
    <x:row r="11">
      <x:c r="B11" s="4" t="str">
        <x:v>Licencias GitHub</x:v>
      </x:c>
      <x:c r="C11" s="143" t="n">
        <x:v>0</x:v>
      </x:c>
      <x:c r="D11" s="4" t="str">
        <x:v>Se presupone plan gratuito</x:v>
      </x:c>
    </x:row>
    <x:row r="12">
      <x:c r="B12" s="4" t="str">
        <x:v>Seguridad</x:v>
      </x:c>
      <x:c r="C12" s="143" t="n">
        <x:v>300000</x:v>
      </x:c>
      <x:c r="D12" s="4" t="str">
        <x:v>Requisito no funcional: autenticación y protección de datos</x:v>
      </x:c>
    </x:row>
    <x:row r="13">
      <x:c r="B13" s="4" t="str">
        <x:v>Contingencia</x:v>
      </x:c>
      <x:c r="C13" s="143" t="n">
        <x:v>500000</x:v>
      </x:c>
      <x:c r="D13" s="4" t="str">
        <x:v>Reserva estimada; no figura en PDF</x:v>
      </x:c>
    </x:row>
    <x:row r="15">
      <x:c r="B15" t="str">
        <x:v>NOTA: valores de referencia, no cotizaciones ni cifras del PDF. Editar según precios reales.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921DFFD516954F8BFEF44C48AE804A" ma:contentTypeVersion="12" ma:contentTypeDescription="Create a new document." ma:contentTypeScope="" ma:versionID="5930472dd05d7d2e6d243737bcc7f376">
  <xsd:schema xmlns:xsd="http://www.w3.org/2001/XMLSchema" xmlns:xs="http://www.w3.org/2001/XMLSchema" xmlns:p="http://schemas.microsoft.com/office/2006/metadata/properties" xmlns:ns2="fd5dc8bb-884e-45bc-82b1-b4f882f8755a" xmlns:ns3="ebc9c3c0-81fd-4da2-9679-27da94d74964" targetNamespace="http://schemas.microsoft.com/office/2006/metadata/properties" ma:root="true" ma:fieldsID="8e6169d95b0c044b8dd712a188276433" ns2:_="" ns3:_="">
    <xsd:import namespace="fd5dc8bb-884e-45bc-82b1-b4f882f8755a"/>
    <xsd:import namespace="ebc9c3c0-81fd-4da2-9679-27da94d749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dc8bb-884e-45bc-82b1-b4f882f8755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9c3c0-81fd-4da2-9679-27da94d7496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78ee5e-97fd-4179-afe3-36e7632e0da1}" ma:internalName="TaxCatchAll" ma:showField="CatchAllData" ma:web="ebc9c3c0-81fd-4da2-9679-27da94d74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9c3c0-81fd-4da2-9679-27da94d74964" xsi:nil="true"/>
    <lcf76f155ced4ddcb4097134ff3c332f xmlns="fd5dc8bb-884e-45bc-82b1-b4f882f8755a">
      <Terms xmlns="http://schemas.microsoft.com/office/infopath/2007/PartnerControls"/>
    </lcf76f155ced4ddcb4097134ff3c332f>
    <ReferenceId xmlns="fd5dc8bb-884e-45bc-82b1-b4f882f8755a" xsi:nil="true"/>
  </documentManagement>
</p:properties>
</file>

<file path=customXml/itemProps1.xml><?xml version="1.0" encoding="utf-8"?>
<ds:datastoreItem xmlns:ds="http://schemas.openxmlformats.org/officeDocument/2006/customXml" ds:itemID="{04C4507E-A4C4-4257-83A2-07DEBB57E8D4}"/>
</file>

<file path=customXml/itemProps2.xml><?xml version="1.0" encoding="utf-8"?>
<ds:datastoreItem xmlns:ds="http://schemas.openxmlformats.org/officeDocument/2006/customXml" ds:itemID="{304872A0-2E21-47F7-86B8-E4D1DAF9BD2E}"/>
</file>

<file path=customXml/itemProps3.xml><?xml version="1.0" encoding="utf-8"?>
<ds:datastoreItem xmlns:ds="http://schemas.openxmlformats.org/officeDocument/2006/customXml" ds:itemID="{A3CF257E-A33D-4B78-A89D-D36B215B064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0x010100AE921DFFD516954F8BFEF44C48AE804A</vt:lpwstr>
  </property>
</Properties>
</file>